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4e0c5b9443077ec/doct/006.interbank/code/doc/"/>
    </mc:Choice>
  </mc:AlternateContent>
  <xr:revisionPtr revIDLastSave="1" documentId="13_ncr:1_{59F476B9-C85E-4485-A645-F3E42E7DBDB7}" xr6:coauthVersionLast="47" xr6:coauthVersionMax="47" xr10:uidLastSave="{2D013676-D9C6-4CE3-B0FC-24B60202699E}"/>
  <bookViews>
    <workbookView xWindow="-28920" yWindow="-120" windowWidth="29040" windowHeight="15720" xr2:uid="{B741F19A-D290-4608-827C-389ED1642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A23" i="1"/>
  <c r="B22" i="1"/>
  <c r="D22" i="1"/>
  <c r="G24" i="1"/>
  <c r="D24" i="1"/>
  <c r="A24" i="1"/>
  <c r="G17" i="1"/>
  <c r="D15" i="1"/>
  <c r="G11" i="1"/>
  <c r="G9" i="1"/>
  <c r="D17" i="1"/>
  <c r="A17" i="1"/>
  <c r="B15" i="1"/>
  <c r="A15" i="1"/>
  <c r="A11" i="1"/>
  <c r="A9" i="1"/>
  <c r="D11" i="1"/>
  <c r="D9" i="1"/>
  <c r="B9" i="1"/>
</calcChain>
</file>

<file path=xl/sharedStrings.xml><?xml version="1.0" encoding="utf-8"?>
<sst xmlns="http://schemas.openxmlformats.org/spreadsheetml/2006/main" count="28" uniqueCount="8">
  <si>
    <t>Bank#0      A</t>
  </si>
  <si>
    <t>Liabilities</t>
  </si>
  <si>
    <t>Bank#1      A</t>
  </si>
  <si>
    <t>Bank#2      A</t>
  </si>
  <si>
    <t>t=0</t>
  </si>
  <si>
    <t>shock1</t>
  </si>
  <si>
    <t>do_loans</t>
  </si>
  <si>
    <t>shock2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</si>
</sst>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E= &quot;\ #,##0.00\ "/>
    <numFmt numFmtId="165" formatCode="&quot;D= &quot;\ #,##0.00\ "/>
    <numFmt numFmtId="166" formatCode="&quot;C= &quot;\ #,##0.00\ "/>
    <numFmt numFmtId="167" formatCode="&quot;R= &quot;\ #,##0.00\ "/>
    <numFmt numFmtId="168" formatCode="&quot;L= &quot;\ #,##0.00\ "/>
    <numFmt numFmtId="169" formatCode="&quot;shock1= &quot;\ #,##0.00;&quot;shock1= &quot;\ \-#,##0.00;"/>
    <numFmt numFmtId="170" formatCode="&quot;E= &quot;\ #,##0.00\ ;\ &quot;E= &quot;\ \-#,##0.00\ "/>
    <numFmt numFmtId="171" formatCode="&quot;D= &quot;\ #,##0.00\ ;\ &quot;D= &quot;\ \-#,##0.00\ "/>
    <numFmt numFmtId="172" formatCode="&quot;C= &quot;\ #,##0.00\ ;&quot;C= &quot;\ \-#,##0.00\ "/>
    <numFmt numFmtId="173" formatCode="&quot;L= &quot;\ #,##0.00\ ;&quot;L= &quot;\ \-#,##0.00"/>
    <numFmt numFmtId="174" formatCode="&quot;R= &quot;\ #,##0.00\ ;&quot;R= &quot;\ \-#,##0.00\ "/>
    <numFmt numFmtId="175" formatCode="&quot;lender= &quot;\ #,##0"/>
    <numFmt numFmtId="177" formatCode="&quot;ls= &quot;\ #,##0.00\ ;&quot;R= &quot;\ \-#,##0.00\ "/>
    <numFmt numFmtId="178" formatCode="&quot;d= &quot;\ #,##0.00\ ;&quot;d= &quot;\ \-#,##0.00\ "/>
    <numFmt numFmtId="180" formatCode="&quot;l= &quot;\ #,##0.00\ ;\ &quot;l= &quot;\ \-#,##0.00\ "/>
  </numFmts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" xfId="0" applyBorder="1"/>
    <xf numFmtId="0" fontId="1" fillId="2" borderId="0" xfId="0" applyFont="1" applyFill="1" applyBorder="1"/>
    <xf numFmtId="0" fontId="0" fillId="0" borderId="0" xfId="0" applyBorder="1"/>
    <xf numFmtId="169" fontId="0" fillId="0" borderId="1" xfId="0" applyNumberFormat="1" applyBorder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 applyBorder="1"/>
    <xf numFmtId="177" fontId="0" fillId="0" borderId="0" xfId="0" applyNumberFormat="1"/>
    <xf numFmtId="178" fontId="0" fillId="0" borderId="0" xfId="0" applyNumberFormat="1"/>
    <xf numFmtId="180" fontId="0" fillId="0" borderId="0" xfId="0" applyNumberFormat="1"/>
    <xf numFmtId="17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167A-48D5-4971-9B5E-826EA2E658C5}">
  <dimension ref="A1:K24"/>
  <sheetViews>
    <sheetView tabSelected="1" workbookViewId="0">
      <selection activeCell="A25" sqref="A25"/>
    </sheetView>
  </sheetViews>
  <sheetFormatPr baseColWidth="10" defaultRowHeight="14.25"/>
  <cols>
    <col min="2" max="2" width="14.875" bestFit="1" customWidth="1"/>
    <col min="3" max="3" width="3.875" customWidth="1"/>
    <col min="5" max="5" width="14" bestFit="1" customWidth="1"/>
    <col min="6" max="6" width="3.875" customWidth="1"/>
    <col min="8" max="8" width="14" bestFit="1" customWidth="1"/>
    <col min="9" max="9" width="3.875" customWidth="1"/>
    <col min="11" max="11" width="10.875" customWidth="1"/>
    <col min="12" max="12" width="2.5" customWidth="1"/>
  </cols>
  <sheetData>
    <row r="1" spans="1:11">
      <c r="A1" t="s">
        <v>0</v>
      </c>
      <c r="B1" t="s">
        <v>1</v>
      </c>
      <c r="D1" t="s">
        <v>2</v>
      </c>
      <c r="E1" t="s">
        <v>1</v>
      </c>
      <c r="G1" t="s">
        <v>3</v>
      </c>
      <c r="H1" t="s">
        <v>1</v>
      </c>
    </row>
    <row r="2" spans="1:11">
      <c r="A2" s="12">
        <v>27.3</v>
      </c>
      <c r="B2" s="11">
        <v>135</v>
      </c>
      <c r="D2" s="12">
        <v>27.3</v>
      </c>
      <c r="E2" s="11">
        <v>135</v>
      </c>
      <c r="G2" s="12">
        <v>27.3</v>
      </c>
      <c r="H2" s="11">
        <v>135</v>
      </c>
      <c r="J2" s="3"/>
      <c r="K2" s="2"/>
    </row>
    <row r="3" spans="1:11">
      <c r="A3" s="13">
        <v>120</v>
      </c>
      <c r="B3" s="10">
        <v>15</v>
      </c>
      <c r="D3" s="13">
        <v>120</v>
      </c>
      <c r="E3" s="10">
        <v>15</v>
      </c>
      <c r="G3" s="13">
        <v>120</v>
      </c>
      <c r="H3" s="10">
        <v>15</v>
      </c>
      <c r="J3" s="5"/>
      <c r="K3" s="1"/>
    </row>
    <row r="4" spans="1:11">
      <c r="A4" s="14">
        <v>2.7</v>
      </c>
      <c r="D4" s="14">
        <v>2.7</v>
      </c>
      <c r="G4" s="14">
        <v>2.7</v>
      </c>
      <c r="J4" s="4"/>
    </row>
    <row r="5" spans="1:11" s="7" customFormat="1" ht="18">
      <c r="A5" s="7" t="s">
        <v>4</v>
      </c>
    </row>
    <row r="6" spans="1:11" s="8" customFormat="1">
      <c r="B6" s="15">
        <v>2</v>
      </c>
      <c r="E6" s="15">
        <v>0</v>
      </c>
      <c r="H6" s="15">
        <v>1</v>
      </c>
    </row>
    <row r="7" spans="1:11" s="6" customFormat="1">
      <c r="A7" s="6" t="s">
        <v>5</v>
      </c>
      <c r="B7" s="9">
        <v>-15</v>
      </c>
      <c r="E7" s="9">
        <v>20</v>
      </c>
      <c r="H7" s="9">
        <v>-35</v>
      </c>
    </row>
    <row r="8" spans="1:11">
      <c r="A8" t="s">
        <v>0</v>
      </c>
      <c r="B8" t="s">
        <v>1</v>
      </c>
      <c r="D8" t="s">
        <v>2</v>
      </c>
      <c r="E8" t="s">
        <v>1</v>
      </c>
      <c r="G8" t="s">
        <v>3</v>
      </c>
      <c r="H8" t="s">
        <v>1</v>
      </c>
    </row>
    <row r="9" spans="1:11">
      <c r="A9" s="12">
        <f>27.3-15*0.98</f>
        <v>12.600000000000001</v>
      </c>
      <c r="B9" s="11">
        <f>135-15</f>
        <v>120</v>
      </c>
      <c r="D9" s="12">
        <f>27.3+20*0.98</f>
        <v>46.900000000000006</v>
      </c>
      <c r="E9" s="11">
        <v>155</v>
      </c>
      <c r="G9" s="12">
        <f>27.3-35*0.98</f>
        <v>-6.9999999999999964</v>
      </c>
      <c r="H9" s="11">
        <v>100</v>
      </c>
    </row>
    <row r="10" spans="1:11">
      <c r="A10" s="13">
        <v>120</v>
      </c>
      <c r="B10" s="10">
        <v>15</v>
      </c>
      <c r="D10" s="13">
        <v>120</v>
      </c>
      <c r="E10" s="10">
        <v>15</v>
      </c>
      <c r="G10" s="13">
        <v>120</v>
      </c>
      <c r="H10" s="10">
        <v>15</v>
      </c>
    </row>
    <row r="11" spans="1:11">
      <c r="A11" s="14">
        <f>2.7-15*0.02</f>
        <v>2.4000000000000004</v>
      </c>
      <c r="D11" s="14">
        <f>2.7+20*0.02</f>
        <v>3.1</v>
      </c>
      <c r="G11" s="14">
        <f>2.7-35*0.02</f>
        <v>2</v>
      </c>
    </row>
    <row r="12" spans="1:11">
      <c r="A12" s="14"/>
      <c r="D12" s="14"/>
      <c r="G12" s="17">
        <v>7</v>
      </c>
    </row>
    <row r="13" spans="1:11" s="6" customFormat="1">
      <c r="A13" s="6" t="s">
        <v>6</v>
      </c>
      <c r="B13" s="9"/>
      <c r="E13" s="9"/>
      <c r="H13" s="9"/>
    </row>
    <row r="14" spans="1:11">
      <c r="A14" t="s">
        <v>0</v>
      </c>
      <c r="B14" t="s">
        <v>1</v>
      </c>
      <c r="D14" t="s">
        <v>2</v>
      </c>
      <c r="E14" t="s">
        <v>1</v>
      </c>
      <c r="G14" t="s">
        <v>3</v>
      </c>
      <c r="H14" t="s">
        <v>1</v>
      </c>
    </row>
    <row r="15" spans="1:11">
      <c r="A15" s="12">
        <f>27.3-15*0.98</f>
        <v>12.600000000000001</v>
      </c>
      <c r="B15" s="11">
        <f>135-15</f>
        <v>120</v>
      </c>
      <c r="D15" s="12">
        <f>27.3+20*0.98-7</f>
        <v>39.900000000000006</v>
      </c>
      <c r="E15" s="11">
        <v>155</v>
      </c>
      <c r="G15" s="12">
        <v>0</v>
      </c>
      <c r="H15" s="11">
        <v>100</v>
      </c>
    </row>
    <row r="16" spans="1:11">
      <c r="A16" s="13">
        <v>120</v>
      </c>
      <c r="B16" s="10">
        <v>15</v>
      </c>
      <c r="D16" s="13">
        <v>120</v>
      </c>
      <c r="E16" s="10">
        <v>15</v>
      </c>
      <c r="G16" s="13">
        <v>120</v>
      </c>
      <c r="H16" s="10">
        <v>15</v>
      </c>
    </row>
    <row r="17" spans="1:8">
      <c r="A17" s="14">
        <f>2.7-15*0.02</f>
        <v>2.4000000000000004</v>
      </c>
      <c r="D17" s="14">
        <f>2.7+20*0.02</f>
        <v>3.1</v>
      </c>
      <c r="G17" s="14">
        <f>2</f>
        <v>2</v>
      </c>
    </row>
    <row r="18" spans="1:8">
      <c r="D18" s="16">
        <v>7</v>
      </c>
      <c r="G18" s="16"/>
      <c r="H18" s="18">
        <v>7</v>
      </c>
    </row>
    <row r="20" spans="1:8" s="6" customFormat="1">
      <c r="A20" s="6" t="s">
        <v>7</v>
      </c>
      <c r="B20" s="9">
        <v>-15</v>
      </c>
      <c r="E20" s="9">
        <v>-10</v>
      </c>
      <c r="H20" s="9">
        <v>10</v>
      </c>
    </row>
    <row r="21" spans="1:8">
      <c r="A21" t="s">
        <v>0</v>
      </c>
      <c r="B21" t="s">
        <v>1</v>
      </c>
      <c r="D21" t="s">
        <v>2</v>
      </c>
      <c r="E21" t="s">
        <v>1</v>
      </c>
      <c r="G21" t="s">
        <v>3</v>
      </c>
      <c r="H21" t="s">
        <v>1</v>
      </c>
    </row>
    <row r="22" spans="1:8">
      <c r="A22" s="12">
        <v>0</v>
      </c>
      <c r="B22" s="11">
        <f>135-15-15</f>
        <v>105</v>
      </c>
      <c r="D22" s="12">
        <f>27.3+20*0.98-7</f>
        <v>39.900000000000006</v>
      </c>
      <c r="E22" s="11">
        <f>155-10</f>
        <v>145</v>
      </c>
      <c r="G22" s="12">
        <v>0</v>
      </c>
      <c r="H22" s="11">
        <v>100</v>
      </c>
    </row>
    <row r="23" spans="1:8">
      <c r="A23" s="13">
        <f>120-2.1/0.3</f>
        <v>113</v>
      </c>
      <c r="B23" s="10">
        <v>15</v>
      </c>
      <c r="D23" s="13">
        <v>120</v>
      </c>
      <c r="E23" s="10">
        <v>15</v>
      </c>
      <c r="G23" s="13">
        <v>120</v>
      </c>
      <c r="H23" s="10">
        <v>15</v>
      </c>
    </row>
    <row r="24" spans="1:8" ht="15">
      <c r="A24" s="19">
        <f>2.7-15*0.02</f>
        <v>2.4000000000000004</v>
      </c>
      <c r="D24" s="14">
        <f>2.7+20*0.02</f>
        <v>3.1</v>
      </c>
      <c r="G24" s="14">
        <f>2</f>
        <v>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Castillo</dc:creator>
  <cp:lastModifiedBy>Hector Castillo</cp:lastModifiedBy>
  <cp:lastPrinted>2026-04-02T06:54:57Z</cp:lastPrinted>
  <dcterms:created xsi:type="dcterms:W3CDTF">2026-03-26T19:16:47Z</dcterms:created>
  <dcterms:modified xsi:type="dcterms:W3CDTF">2026-04-02T07:28:12Z</dcterms:modified>
</cp:coreProperties>
</file>